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OneDrive\Documentos\"/>
    </mc:Choice>
  </mc:AlternateContent>
  <xr:revisionPtr revIDLastSave="0" documentId="13_ncr:1_{3BC37696-D0E5-4521-9957-8FC29F85EC68}" xr6:coauthVersionLast="47" xr6:coauthVersionMax="47" xr10:uidLastSave="{00000000-0000-0000-0000-000000000000}"/>
  <bookViews>
    <workbookView xWindow="-120" yWindow="-120" windowWidth="29040" windowHeight="15720" xr2:uid="{8B2C2821-9D50-4A20-8A01-B6F134629F8D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ntdAnos">Planilha1!$D$19</definedName>
    <definedName name="rendimentoCarteira">Planilha1!$D$13</definedName>
    <definedName name="salario">Planilha1!$D$12</definedName>
    <definedName name="sugestaoInvestimento">Planilha1!$D$14</definedName>
    <definedName name="taxa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H5" i="2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D14" i="1"/>
  <c r="C34" i="1" l="1"/>
  <c r="D37" i="1" s="1"/>
  <c r="C27" i="1"/>
  <c r="D27" i="1" s="1"/>
  <c r="C28" i="1"/>
  <c r="D28" i="1" s="1"/>
  <c r="C29" i="1"/>
  <c r="D29" i="1" s="1"/>
  <c r="C30" i="1"/>
  <c r="D30" i="1" s="1"/>
  <c r="C26" i="1"/>
  <c r="D26" i="1" s="1"/>
  <c r="D21" i="1"/>
  <c r="D22" i="1" s="1"/>
  <c r="C38" i="1"/>
  <c r="D38" i="1" s="1"/>
  <c r="C39" i="1"/>
  <c r="D39" i="1" s="1"/>
  <c r="C40" i="1"/>
  <c r="D40" i="1" s="1"/>
  <c r="C41" i="1"/>
  <c r="C42" i="1"/>
  <c r="D41" i="1" l="1"/>
  <c r="D43" i="1" s="1"/>
  <c r="D42" i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<sst xmlns="http://schemas.openxmlformats.org/spreadsheetml/2006/main" count="71" uniqueCount="35">
  <si>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</si>
  <si>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</si>
  <si>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</si>
  <si>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Qual a taxa de rendimento mensal?</t>
  </si>
  <si>
    <t>Quanto em 2 anos?</t>
  </si>
  <si>
    <t>Quanto em 5 anos?</t>
  </si>
  <si>
    <t>Quanto em 10 anos?</t>
  </si>
  <si>
    <t>Quanto em 20 anos?</t>
  </si>
  <si>
    <t>CENÁRIOS</t>
  </si>
  <si>
    <t>Quanto em 30 anos?</t>
  </si>
  <si>
    <t>Rendimento de Carteira</t>
  </si>
  <si>
    <t>Salário</t>
  </si>
  <si>
    <t>CONFIGURAÇÕES</t>
  </si>
  <si>
    <t>DIVIDENDO</t>
  </si>
  <si>
    <t>Agressivo</t>
  </si>
  <si>
    <t>AGRESSIVO</t>
  </si>
  <si>
    <t>PERFIL</t>
  </si>
  <si>
    <t>VALOR A SER INVESTIDO MENSALMENTE</t>
  </si>
  <si>
    <t>TIPO DE FII</t>
  </si>
  <si>
    <t>VALORES</t>
  </si>
  <si>
    <t>PERCENTUAL SUGERIDO</t>
  </si>
  <si>
    <t>PAPEL</t>
  </si>
  <si>
    <t>TIJOLO</t>
  </si>
  <si>
    <t>HIBRÍDOS</t>
  </si>
  <si>
    <t>FOFs</t>
  </si>
  <si>
    <t>DESENVOLVIMENTO</t>
  </si>
  <si>
    <t>HOTELARIAS</t>
  </si>
  <si>
    <t>%</t>
  </si>
  <si>
    <t>Conservador</t>
  </si>
  <si>
    <t>CHAVE</t>
  </si>
  <si>
    <t>Moderado</t>
  </si>
  <si>
    <t>Conservador-TIJOLO</t>
  </si>
  <si>
    <t>Sugestão de Investimento (30%)</t>
  </si>
  <si>
    <t>Patrimônio Acumulado</t>
  </si>
  <si>
    <t>Dividendos Mensais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</si>
</sst>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&quot;R$&quot;\ #,##0.00"/>
  </numFmts>
  <fonts count="15" x14ac:knownFonts="1">
    <font>
      <sz val="11"/>
      <color theme="1"/>
      <name val="Aptos Narrow"/>
      <family val="2"/>
      <scheme val="minor"/>
    </font>
    <font>
      <b/>
      <sz val="20"/>
      <color theme="0"/>
      <name val="Aharoni"/>
      <charset val="177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haroni"/>
      <charset val="177"/>
    </font>
    <font>
      <b/>
      <sz val="20"/>
      <color theme="2"/>
      <name val="Aptos Black"/>
      <family val="2"/>
    </font>
    <font>
      <sz val="12"/>
      <color rgb="FF23282C"/>
      <name val="Aptos Narrow"/>
      <family val="2"/>
      <scheme val="minor"/>
    </font>
    <font>
      <b/>
      <sz val="20"/>
      <color theme="0"/>
      <name val="Aptos Black"/>
      <family val="2"/>
    </font>
    <font>
      <sz val="11"/>
      <color theme="2"/>
      <name val="Aharoni"/>
      <charset val="177"/>
    </font>
    <font>
      <b/>
      <sz val="11"/>
      <color theme="2"/>
      <name val="Aptos Narrow"/>
      <family val="2"/>
      <scheme val="minor"/>
    </font>
    <font>
      <b/>
      <sz val="11"/>
      <color theme="2"/>
      <name val="Aharoni"/>
      <charset val="177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/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/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8" fontId="3" fillId="5" borderId="8" xfId="0" applyNumberFormat="1" applyFont="1" applyFill="1" applyBorder="1" applyAlignment="1">
      <alignment horizontal="center"/>
    </xf>
    <xf numFmtId="8" fontId="3" fillId="5" borderId="25" xfId="0" applyNumberFormat="1" applyFont="1" applyFill="1" applyBorder="1" applyAlignment="1">
      <alignment horizontal="center"/>
    </xf>
    <xf numFmtId="9" fontId="0" fillId="0" borderId="0" xfId="0" applyNumberFormat="1"/>
    <xf numFmtId="0" fontId="0" fillId="0" borderId="0" xfId="0" applyAlignment="1">
      <alignment horizontal="center"/>
    </xf>
    <xf numFmtId="166" fontId="3" fillId="0" borderId="18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166" fontId="3" fillId="0" borderId="22" xfId="0" applyNumberFormat="1" applyFont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 indent="3"/>
    </xf>
    <xf numFmtId="0" fontId="8" fillId="7" borderId="23" xfId="0" applyFont="1" applyFill="1" applyBorder="1" applyAlignment="1">
      <alignment horizontal="left" vertical="center" indent="3"/>
    </xf>
    <xf numFmtId="0" fontId="6" fillId="6" borderId="9" xfId="0" applyFont="1" applyFill="1" applyBorder="1" applyAlignment="1">
      <alignment horizontal="left" vertical="center" indent="3"/>
    </xf>
    <xf numFmtId="0" fontId="6" fillId="6" borderId="28" xfId="0" applyFont="1" applyFill="1" applyBorder="1" applyAlignment="1">
      <alignment horizontal="left" vertical="center" indent="3"/>
    </xf>
    <xf numFmtId="0" fontId="6" fillId="6" borderId="10" xfId="0" applyFont="1" applyFill="1" applyBorder="1" applyAlignment="1">
      <alignment horizontal="left" vertical="center" indent="3"/>
    </xf>
    <xf numFmtId="0" fontId="6" fillId="6" borderId="29" xfId="0" applyFont="1" applyFill="1" applyBorder="1" applyAlignment="1">
      <alignment horizontal="left" vertical="center" indent="3"/>
    </xf>
    <xf numFmtId="0" fontId="1" fillId="2" borderId="5" xfId="0" applyFont="1" applyFill="1" applyBorder="1" applyAlignment="1">
      <alignment horizontal="left" vertical="center" indent="3"/>
    </xf>
    <xf numFmtId="0" fontId="1" fillId="2" borderId="23" xfId="0" applyFont="1" applyFill="1" applyBorder="1" applyAlignment="1">
      <alignment horizontal="left" vertical="center" indent="3"/>
    </xf>
    <xf numFmtId="0" fontId="1" fillId="2" borderId="6" xfId="0" applyFont="1" applyFill="1" applyBorder="1" applyAlignment="1">
      <alignment horizontal="left" vertical="center" indent="3"/>
    </xf>
    <xf numFmtId="0" fontId="9" fillId="0" borderId="9" xfId="0" applyFont="1" applyBorder="1" applyAlignment="1">
      <alignment horizontal="left" vertical="center" wrapText="1" indent="3"/>
    </xf>
    <xf numFmtId="0" fontId="9" fillId="0" borderId="28" xfId="0" applyFont="1" applyBorder="1" applyAlignment="1">
      <alignment horizontal="left" vertical="center" wrapText="1" indent="3"/>
    </xf>
    <xf numFmtId="166" fontId="5" fillId="0" borderId="18" xfId="0" applyNumberFormat="1" applyFont="1" applyBorder="1" applyAlignment="1">
      <alignment horizontal="left" indent="3"/>
    </xf>
    <xf numFmtId="0" fontId="5" fillId="0" borderId="20" xfId="0" applyFont="1" applyBorder="1" applyAlignment="1">
      <alignment horizontal="left" indent="3"/>
    </xf>
    <xf numFmtId="10" fontId="5" fillId="0" borderId="20" xfId="0" applyNumberFormat="1" applyFont="1" applyBorder="1" applyAlignment="1">
      <alignment horizontal="left" indent="3"/>
    </xf>
    <xf numFmtId="0" fontId="5" fillId="5" borderId="9" xfId="0" applyFont="1" applyFill="1" applyBorder="1" applyAlignment="1">
      <alignment horizontal="left" indent="3"/>
    </xf>
    <xf numFmtId="0" fontId="5" fillId="5" borderId="28" xfId="0" applyFont="1" applyFill="1" applyBorder="1" applyAlignment="1">
      <alignment horizontal="left" indent="3"/>
    </xf>
    <xf numFmtId="166" fontId="5" fillId="5" borderId="20" xfId="0" applyNumberFormat="1" applyFont="1" applyFill="1" applyBorder="1" applyAlignment="1">
      <alignment horizontal="left" indent="3"/>
    </xf>
    <xf numFmtId="0" fontId="5" fillId="5" borderId="10" xfId="0" applyFont="1" applyFill="1" applyBorder="1" applyAlignment="1">
      <alignment horizontal="left" indent="3"/>
    </xf>
    <xf numFmtId="0" fontId="5" fillId="5" borderId="29" xfId="0" applyFont="1" applyFill="1" applyBorder="1" applyAlignment="1">
      <alignment horizontal="left" indent="3"/>
    </xf>
    <xf numFmtId="166" fontId="5" fillId="5" borderId="22" xfId="0" applyNumberFormat="1" applyFont="1" applyFill="1" applyBorder="1" applyAlignment="1">
      <alignment horizontal="left" indent="3"/>
    </xf>
    <xf numFmtId="0" fontId="6" fillId="5" borderId="17" xfId="0" applyFont="1" applyFill="1" applyBorder="1" applyAlignment="1">
      <alignment horizontal="left" indent="3"/>
    </xf>
    <xf numFmtId="8" fontId="5" fillId="5" borderId="14" xfId="0" applyNumberFormat="1" applyFont="1" applyFill="1" applyBorder="1" applyAlignment="1">
      <alignment horizontal="left" indent="3"/>
    </xf>
    <xf numFmtId="0" fontId="6" fillId="5" borderId="19" xfId="0" applyFont="1" applyFill="1" applyBorder="1" applyAlignment="1">
      <alignment horizontal="left" indent="3"/>
    </xf>
    <xf numFmtId="8" fontId="5" fillId="5" borderId="16" xfId="0" applyNumberFormat="1" applyFont="1" applyFill="1" applyBorder="1" applyAlignment="1">
      <alignment horizontal="left" indent="3"/>
    </xf>
    <xf numFmtId="0" fontId="6" fillId="5" borderId="21" xfId="0" applyFont="1" applyFill="1" applyBorder="1" applyAlignment="1">
      <alignment horizontal="left" indent="3"/>
    </xf>
    <xf numFmtId="8" fontId="5" fillId="5" borderId="24" xfId="0" applyNumberFormat="1" applyFont="1" applyFill="1" applyBorder="1" applyAlignment="1">
      <alignment horizontal="left" indent="3"/>
    </xf>
    <xf numFmtId="0" fontId="10" fillId="2" borderId="5" xfId="0" applyFont="1" applyFill="1" applyBorder="1" applyAlignment="1">
      <alignment horizontal="left" vertical="center" indent="3"/>
    </xf>
    <xf numFmtId="0" fontId="10" fillId="2" borderId="6" xfId="0" applyFont="1" applyFill="1" applyBorder="1" applyAlignment="1">
      <alignment horizontal="left" vertical="center" indent="3"/>
    </xf>
    <xf numFmtId="0" fontId="2" fillId="4" borderId="0" xfId="1"/>
    <xf numFmtId="0" fontId="3" fillId="8" borderId="0" xfId="0" applyFont="1" applyFill="1" applyAlignment="1">
      <alignment horizontal="center" vertical="center"/>
    </xf>
    <xf numFmtId="0" fontId="3" fillId="8" borderId="0" xfId="0" applyFont="1" applyFill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11" fillId="2" borderId="4" xfId="1" applyFont="1" applyFill="1" applyBorder="1" applyAlignment="1">
      <alignment horizontal="left" indent="3"/>
    </xf>
    <xf numFmtId="0" fontId="11" fillId="2" borderId="3" xfId="1" applyFont="1" applyFill="1" applyBorder="1"/>
    <xf numFmtId="0" fontId="0" fillId="6" borderId="2" xfId="0" applyFill="1" applyBorder="1"/>
    <xf numFmtId="166" fontId="3" fillId="6" borderId="1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166" fontId="12" fillId="2" borderId="11" xfId="0" applyNumberFormat="1" applyFont="1" applyFill="1" applyBorder="1" applyAlignment="1">
      <alignment horizontal="center"/>
    </xf>
    <xf numFmtId="9" fontId="3" fillId="6" borderId="13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30" xfId="0" applyNumberFormat="1" applyFont="1" applyFill="1" applyBorder="1" applyAlignment="1">
      <alignment horizontal="center" vertical="center"/>
    </xf>
    <xf numFmtId="0" fontId="0" fillId="6" borderId="17" xfId="0" applyFill="1" applyBorder="1"/>
    <xf numFmtId="166" fontId="3" fillId="6" borderId="18" xfId="0" applyNumberFormat="1" applyFont="1" applyFill="1" applyBorder="1" applyAlignment="1">
      <alignment horizontal="center" vertical="center"/>
    </xf>
    <xf numFmtId="0" fontId="0" fillId="6" borderId="19" xfId="0" applyFill="1" applyBorder="1"/>
    <xf numFmtId="166" fontId="3" fillId="6" borderId="20" xfId="0" applyNumberFormat="1" applyFont="1" applyFill="1" applyBorder="1" applyAlignment="1">
      <alignment horizontal="center" vertical="center"/>
    </xf>
    <xf numFmtId="0" fontId="0" fillId="6" borderId="26" xfId="0" applyFill="1" applyBorder="1"/>
    <xf numFmtId="166" fontId="3" fillId="6" borderId="27" xfId="0" applyNumberFormat="1" applyFont="1" applyFill="1" applyBorder="1" applyAlignment="1">
      <alignment horizontal="center" vertical="center"/>
    </xf>
    <xf numFmtId="0" fontId="14" fillId="0" borderId="0" xfId="0" applyFont="1"/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00666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D1-49EF-8878-919AF1775B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HIBRÍDOS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1-49EF-8878-919AF1775B0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0</xdr:colOff>
      <xdr:row>8</xdr:row>
      <xdr:rowOff>38100</xdr:rowOff>
    </xdr:to>
    <xdr:pic>
      <xdr:nvPicPr>
        <xdr:cNvPr id="3" name="aeternoBanner">
          <a:extLst>
            <a:ext uri="{FF2B5EF4-FFF2-40B4-BE49-F238E27FC236}">
              <a16:creationId xmlns:a16="http://schemas.microsoft.com/office/drawing/2014/main" id="{A314CF17-5832-8E40-A0DF-794D6DD0EA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" t="7414" r="1035" b="8572"/>
        <a:stretch>
          <a:fillRect/>
        </a:stretch>
      </xdr:blipFill>
      <xdr:spPr>
        <a:xfrm>
          <a:off x="0" y="0"/>
          <a:ext cx="9534525" cy="1562100"/>
        </a:xfrm>
        <a:prstGeom prst="rect">
          <a:avLst/>
        </a:prstGeom>
      </xdr:spPr>
    </xdr:pic>
    <xdr:clientData/>
  </xdr:twoCellAnchor>
  <xdr:twoCellAnchor>
    <xdr:from>
      <xdr:col>1</xdr:col>
      <xdr:colOff>1909762</xdr:colOff>
      <xdr:row>45</xdr:row>
      <xdr:rowOff>185737</xdr:rowOff>
    </xdr:from>
    <xdr:to>
      <xdr:col>2</xdr:col>
      <xdr:colOff>1643062</xdr:colOff>
      <xdr:row>60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322E33-274A-3834-C961-D0F34D58C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08FB-1D4B-4EFE-9E84-A92DC13F0D16}">
  <dimension ref="A10:F73"/>
  <sheetViews>
    <sheetView showGridLines="0" tabSelected="1" topLeftCell="A28" zoomScaleNormal="100" workbookViewId="0">
      <selection activeCell="F46" sqref="F46"/>
    </sheetView>
  </sheetViews>
  <sheetFormatPr defaultColWidth="0" defaultRowHeight="15" x14ac:dyDescent="0.25"/>
  <cols>
    <col min="1" max="1" width="15.85546875" customWidth="1"/>
    <col min="2" max="2" width="72.5703125" customWidth="1"/>
    <col min="3" max="3" width="26.5703125" customWidth="1"/>
    <col min="4" max="4" width="20.28515625" bestFit="1" customWidth="1"/>
    <col min="5" max="5" width="2.85546875" customWidth="1"/>
    <col min="6" max="6" width="2.7109375" customWidth="1"/>
    <col min="7" max="7" width="0.140625" customWidth="1"/>
    <col min="8" max="8" width="2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35.25" customHeight="1" x14ac:dyDescent="0.25">
      <c r="B11" s="12" t="s">
        <v>12</v>
      </c>
      <c r="C11" s="13"/>
      <c r="D11" s="11"/>
    </row>
    <row r="12" spans="2:4" ht="22.5" customHeight="1" x14ac:dyDescent="0.25">
      <c r="B12" s="14" t="s">
        <v>11</v>
      </c>
      <c r="C12" s="15"/>
      <c r="D12" s="8">
        <v>2000</v>
      </c>
    </row>
    <row r="13" spans="2:4" ht="18.75" customHeight="1" x14ac:dyDescent="0.25">
      <c r="B13" s="14" t="s">
        <v>10</v>
      </c>
      <c r="C13" s="15"/>
      <c r="D13" s="9">
        <v>6.0000000000000001E-3</v>
      </c>
    </row>
    <row r="14" spans="2:4" ht="24.75" customHeight="1" thickBot="1" x14ac:dyDescent="0.3">
      <c r="B14" s="16" t="s">
        <v>32</v>
      </c>
      <c r="C14" s="17"/>
      <c r="D14" s="10">
        <f>D12*30%</f>
        <v>600</v>
      </c>
    </row>
    <row r="15" spans="2:4" ht="20.25" customHeight="1" x14ac:dyDescent="0.25"/>
    <row r="16" spans="2:4" ht="15.75" thickBot="1" x14ac:dyDescent="0.3"/>
    <row r="17" spans="1:4" ht="30.75" customHeight="1" x14ac:dyDescent="0.25">
      <c r="B17" s="18" t="s">
        <v>0</v>
      </c>
      <c r="C17" s="19"/>
      <c r="D17" s="20"/>
    </row>
    <row r="18" spans="1:4" ht="15.75" x14ac:dyDescent="0.25">
      <c r="A18" s="2">
        <v>2</v>
      </c>
      <c r="B18" s="21" t="s">
        <v>1</v>
      </c>
      <c r="C18" s="22"/>
      <c r="D18" s="23">
        <v>200</v>
      </c>
    </row>
    <row r="19" spans="1:4" ht="15.75" x14ac:dyDescent="0.25">
      <c r="A19" s="2">
        <v>5</v>
      </c>
      <c r="B19" s="21" t="s">
        <v>2</v>
      </c>
      <c r="C19" s="22"/>
      <c r="D19" s="24">
        <v>5</v>
      </c>
    </row>
    <row r="20" spans="1:4" ht="15.75" x14ac:dyDescent="0.25">
      <c r="A20" s="2">
        <v>10</v>
      </c>
      <c r="B20" s="21" t="s">
        <v>3</v>
      </c>
      <c r="C20" s="22"/>
      <c r="D20" s="25">
        <v>1.0800000000000001E-2</v>
      </c>
    </row>
    <row r="21" spans="1:4" ht="15.75" x14ac:dyDescent="0.25">
      <c r="A21" s="2">
        <v>20</v>
      </c>
      <c r="B21" s="26" t="s">
        <v>33</v>
      </c>
      <c r="C21" s="27"/>
      <c r="D21" s="28">
        <f>FV(taxaMensal,qntdAnos*12,aporte*-1)</f>
        <v>16760.803871851687</v>
      </c>
    </row>
    <row r="22" spans="1:4" ht="16.5" thickBot="1" x14ac:dyDescent="0.3">
      <c r="A22" s="2">
        <v>30</v>
      </c>
      <c r="B22" s="29" t="s">
        <v>34</v>
      </c>
      <c r="C22" s="30"/>
      <c r="D22" s="31">
        <f>patrimonio*rendimentoCarteira</f>
        <v>100.56482323111013</v>
      </c>
    </row>
    <row r="24" spans="1:4" ht="15.75" thickBot="1" x14ac:dyDescent="0.3"/>
    <row r="25" spans="1:4" ht="26.25" x14ac:dyDescent="0.25">
      <c r="B25" s="38" t="s">
        <v>8</v>
      </c>
      <c r="C25" s="39"/>
      <c r="D25" s="3" t="s">
        <v>13</v>
      </c>
    </row>
    <row r="26" spans="1:4" ht="15.75" x14ac:dyDescent="0.25">
      <c r="B26" s="32" t="s">
        <v>4</v>
      </c>
      <c r="C26" s="33">
        <f>FV($D$20,$A18*12,$D$18*-1)</f>
        <v>5446.172732116318</v>
      </c>
      <c r="D26" s="5">
        <f>C26*rendimentoCarteira</f>
        <v>32.677036392697907</v>
      </c>
    </row>
    <row r="27" spans="1:4" ht="15.75" x14ac:dyDescent="0.25">
      <c r="B27" s="34" t="s">
        <v>5</v>
      </c>
      <c r="C27" s="35">
        <f>FV($D$20,$A19*12,$D$18*-1)</f>
        <v>16760.803871851687</v>
      </c>
      <c r="D27" s="5">
        <f>C27*rendimentoCarteira</f>
        <v>100.56482323111013</v>
      </c>
    </row>
    <row r="28" spans="1:4" ht="15.75" x14ac:dyDescent="0.25">
      <c r="B28" s="34" t="s">
        <v>6</v>
      </c>
      <c r="C28" s="35">
        <f>FV($D$20,$A20*12,$D$18*-1)</f>
        <v>48691.533250960019</v>
      </c>
      <c r="D28" s="5">
        <f>C28*rendimentoCarteira</f>
        <v>292.14919950576012</v>
      </c>
    </row>
    <row r="29" spans="1:4" ht="15.75" x14ac:dyDescent="0.25">
      <c r="B29" s="34" t="s">
        <v>7</v>
      </c>
      <c r="C29" s="35">
        <f>FV($D$20,$A21*12,$D$18*-1)</f>
        <v>225409.79865970465</v>
      </c>
      <c r="D29" s="5">
        <f>C29*rendimentoCarteira</f>
        <v>1352.4587919582279</v>
      </c>
    </row>
    <row r="30" spans="1:4" ht="16.5" thickBot="1" x14ac:dyDescent="0.3">
      <c r="B30" s="36" t="s">
        <v>9</v>
      </c>
      <c r="C30" s="37">
        <f>FV($D$20,$A22*12,$D$18*-1)</f>
        <v>866780.96206335025</v>
      </c>
      <c r="D30" s="4">
        <f>C30*rendimentoCarteira</f>
        <v>5200.6857723801013</v>
      </c>
    </row>
    <row r="33" spans="2:6" x14ac:dyDescent="0.25">
      <c r="B33" s="50" t="s">
        <v>16</v>
      </c>
      <c r="C33" s="51" t="s">
        <v>15</v>
      </c>
    </row>
    <row r="34" spans="2:6" x14ac:dyDescent="0.25">
      <c r="B34" s="52" t="s">
        <v>17</v>
      </c>
      <c r="C34" s="53">
        <f>aporte</f>
        <v>200</v>
      </c>
    </row>
    <row r="35" spans="2:6" ht="15.75" thickBot="1" x14ac:dyDescent="0.3"/>
    <row r="36" spans="2:6" x14ac:dyDescent="0.25">
      <c r="B36" s="54" t="s">
        <v>18</v>
      </c>
      <c r="C36" s="55" t="s">
        <v>20</v>
      </c>
      <c r="D36" s="56" t="s">
        <v>19</v>
      </c>
    </row>
    <row r="37" spans="2:6" x14ac:dyDescent="0.25">
      <c r="B37" s="63" t="s">
        <v>21</v>
      </c>
      <c r="C37" s="60">
        <f>VLOOKUP($C$33&amp;"-"&amp;B37,Planilha2!$A:$D,4,0)</f>
        <v>0.5</v>
      </c>
      <c r="D37" s="64">
        <f>C37*$C$34</f>
        <v>100</v>
      </c>
    </row>
    <row r="38" spans="2:6" x14ac:dyDescent="0.25">
      <c r="B38" s="65" t="s">
        <v>22</v>
      </c>
      <c r="C38" s="61">
        <f>VLOOKUP($C$33&amp;"-"&amp;B38,Planilha2!$A:$D,4,0)</f>
        <v>0.1</v>
      </c>
      <c r="D38" s="66">
        <f t="shared" ref="D38:D42" si="0">C38*$C$34</f>
        <v>20</v>
      </c>
    </row>
    <row r="39" spans="2:6" x14ac:dyDescent="0.25">
      <c r="B39" s="65" t="s">
        <v>23</v>
      </c>
      <c r="C39" s="61">
        <f>VLOOKUP($C$33&amp;"-"&amp;B39,Planilha2!$A:$D,4,0)</f>
        <v>0.05</v>
      </c>
      <c r="D39" s="66">
        <f t="shared" si="0"/>
        <v>10</v>
      </c>
    </row>
    <row r="40" spans="2:6" x14ac:dyDescent="0.25">
      <c r="B40" s="65" t="s">
        <v>24</v>
      </c>
      <c r="C40" s="61">
        <f>VLOOKUP($C$33&amp;"-"&amp;B40,Planilha2!$A:$D,4,0)</f>
        <v>0.05</v>
      </c>
      <c r="D40" s="66">
        <f t="shared" si="0"/>
        <v>10</v>
      </c>
    </row>
    <row r="41" spans="2:6" x14ac:dyDescent="0.25">
      <c r="B41" s="65" t="s">
        <v>25</v>
      </c>
      <c r="C41" s="61">
        <f>VLOOKUP($C$33&amp;"-"&amp;B41,Planilha2!$A:$D,4,0)</f>
        <v>0.2</v>
      </c>
      <c r="D41" s="66">
        <f t="shared" si="0"/>
        <v>40</v>
      </c>
    </row>
    <row r="42" spans="2:6" x14ac:dyDescent="0.25">
      <c r="B42" s="67" t="s">
        <v>26</v>
      </c>
      <c r="C42" s="62">
        <f>VLOOKUP($C$33&amp;"-"&amp;B42,Planilha2!$A:$D,4,0)</f>
        <v>0.1</v>
      </c>
      <c r="D42" s="68">
        <f t="shared" si="0"/>
        <v>20</v>
      </c>
    </row>
    <row r="43" spans="2:6" ht="15.75" thickBot="1" x14ac:dyDescent="0.3">
      <c r="B43" s="57"/>
      <c r="C43" s="58"/>
      <c r="D43" s="59">
        <f>SUM(D37:D42)</f>
        <v>200</v>
      </c>
    </row>
    <row r="46" spans="2:6" x14ac:dyDescent="0.25">
      <c r="F46" s="69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1">
    <mergeCell ref="B25:C25"/>
    <mergeCell ref="B21:C21"/>
    <mergeCell ref="B22:C22"/>
    <mergeCell ref="B17:D17"/>
    <mergeCell ref="B12:C12"/>
    <mergeCell ref="B18:C18"/>
    <mergeCell ref="B19:C19"/>
    <mergeCell ref="B20:C20"/>
    <mergeCell ref="B13:C13"/>
    <mergeCell ref="B14:C14"/>
    <mergeCell ref="B11:D11"/>
  </mergeCells>
  <dataValidations count="1">
    <dataValidation type="list" allowBlank="1" showInputMessage="1" showErrorMessage="1" sqref="C33" xr:uid="{8D3D8370-6578-470D-B801-32D51D893978}">
      <formula1>"AGRESSIVO,CONSERVADOR,MODERADO"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6EC81-0022-4D9F-8C32-F7B1AECB7C4B}">
  <dimension ref="A2:H20"/>
  <sheetViews>
    <sheetView workbookViewId="0">
      <selection activeCell="D13" sqref="D13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12.140625" style="7" bestFit="1" customWidth="1"/>
    <col min="7" max="7" width="16.85546875" bestFit="1" customWidth="1"/>
  </cols>
  <sheetData>
    <row r="2" spans="1:8" x14ac:dyDescent="0.25">
      <c r="A2" s="42" t="s">
        <v>29</v>
      </c>
      <c r="B2" s="41" t="s">
        <v>16</v>
      </c>
      <c r="C2" s="41" t="s">
        <v>18</v>
      </c>
      <c r="D2" s="41" t="s">
        <v>27</v>
      </c>
    </row>
    <row r="3" spans="1:8" x14ac:dyDescent="0.25">
      <c r="A3" t="str">
        <f>$B$3&amp;"-"&amp;C3</f>
        <v>Conservador-PAPEL</v>
      </c>
      <c r="B3" s="1" t="s">
        <v>28</v>
      </c>
      <c r="C3" s="1" t="s">
        <v>21</v>
      </c>
      <c r="D3" s="44">
        <v>0.3</v>
      </c>
    </row>
    <row r="4" spans="1:8" x14ac:dyDescent="0.25">
      <c r="A4" t="str">
        <f t="shared" ref="A4:A20" si="0">$B$3&amp;"-"&amp;C4</f>
        <v>Conservador-TIJOLO</v>
      </c>
      <c r="B4" s="1" t="s">
        <v>28</v>
      </c>
      <c r="C4" s="1" t="s">
        <v>22</v>
      </c>
      <c r="D4" s="44">
        <v>0.5</v>
      </c>
      <c r="H4" s="49" t="s">
        <v>27</v>
      </c>
    </row>
    <row r="5" spans="1:8" x14ac:dyDescent="0.25">
      <c r="A5" t="str">
        <f t="shared" si="0"/>
        <v>Conservador-HIBRÍDOS</v>
      </c>
      <c r="B5" s="1" t="s">
        <v>28</v>
      </c>
      <c r="C5" s="1" t="s">
        <v>23</v>
      </c>
      <c r="D5" s="44">
        <v>0.1</v>
      </c>
      <c r="G5" s="40" t="s">
        <v>31</v>
      </c>
      <c r="H5" s="6">
        <f>VLOOKUP(G5,$A:$D,4,0)</f>
        <v>0.5</v>
      </c>
    </row>
    <row r="6" spans="1:8" x14ac:dyDescent="0.25">
      <c r="A6" t="str">
        <f t="shared" si="0"/>
        <v>Conservador-FOFs</v>
      </c>
      <c r="B6" s="1" t="s">
        <v>28</v>
      </c>
      <c r="C6" s="1" t="s">
        <v>24</v>
      </c>
      <c r="D6" s="44">
        <v>0.1</v>
      </c>
    </row>
    <row r="7" spans="1:8" x14ac:dyDescent="0.25">
      <c r="A7" t="str">
        <f t="shared" si="0"/>
        <v>Conservador-DESENVOLVIMENTO</v>
      </c>
      <c r="B7" s="1" t="s">
        <v>28</v>
      </c>
      <c r="C7" s="1" t="s">
        <v>25</v>
      </c>
      <c r="D7" s="44">
        <v>0</v>
      </c>
    </row>
    <row r="8" spans="1:8" ht="15.75" thickBot="1" x14ac:dyDescent="0.3">
      <c r="A8" s="45" t="str">
        <f t="shared" si="0"/>
        <v>Conservador-HOTELARIAS</v>
      </c>
      <c r="B8" s="46" t="s">
        <v>28</v>
      </c>
      <c r="C8" s="46" t="s">
        <v>26</v>
      </c>
      <c r="D8" s="47">
        <v>0</v>
      </c>
    </row>
    <row r="9" spans="1:8" x14ac:dyDescent="0.25">
      <c r="A9" t="str">
        <f>$B$9&amp;"-"&amp;C9</f>
        <v>Moderado-PAPEL</v>
      </c>
      <c r="B9" s="1" t="s">
        <v>30</v>
      </c>
      <c r="C9" s="1" t="s">
        <v>21</v>
      </c>
      <c r="D9" s="43">
        <v>0.32</v>
      </c>
    </row>
    <row r="10" spans="1:8" x14ac:dyDescent="0.25">
      <c r="A10" t="str">
        <f t="shared" ref="A10:A14" si="1">$B$9&amp;"-"&amp;C10</f>
        <v>Moderado-TIJOLO</v>
      </c>
      <c r="B10" s="1" t="s">
        <v>30</v>
      </c>
      <c r="C10" s="1" t="s">
        <v>22</v>
      </c>
      <c r="D10" s="43">
        <v>0.35</v>
      </c>
    </row>
    <row r="11" spans="1:8" x14ac:dyDescent="0.25">
      <c r="A11" t="str">
        <f t="shared" si="1"/>
        <v>Moderado-HIBRÍDOS</v>
      </c>
      <c r="B11" s="1" t="s">
        <v>30</v>
      </c>
      <c r="C11" s="1" t="s">
        <v>23</v>
      </c>
      <c r="D11" s="43">
        <v>0.08</v>
      </c>
    </row>
    <row r="12" spans="1:8" x14ac:dyDescent="0.25">
      <c r="A12" t="str">
        <f t="shared" si="1"/>
        <v>Moderado-FOFs</v>
      </c>
      <c r="B12" s="1" t="s">
        <v>30</v>
      </c>
      <c r="C12" s="1" t="s">
        <v>24</v>
      </c>
      <c r="D12" s="43">
        <v>0.05</v>
      </c>
    </row>
    <row r="13" spans="1:8" x14ac:dyDescent="0.25">
      <c r="A13" t="str">
        <f t="shared" si="1"/>
        <v>Moderado-DESENVOLVIMENTO</v>
      </c>
      <c r="B13" s="1" t="s">
        <v>30</v>
      </c>
      <c r="C13" s="1" t="s">
        <v>25</v>
      </c>
      <c r="D13" s="43">
        <v>0.1</v>
      </c>
    </row>
    <row r="14" spans="1:8" ht="15.75" thickBot="1" x14ac:dyDescent="0.3">
      <c r="A14" s="45" t="str">
        <f t="shared" si="1"/>
        <v>Moderado-HOTELARIAS</v>
      </c>
      <c r="B14" s="46" t="s">
        <v>30</v>
      </c>
      <c r="C14" s="46" t="s">
        <v>26</v>
      </c>
      <c r="D14" s="48">
        <v>0.1</v>
      </c>
    </row>
    <row r="15" spans="1:8" x14ac:dyDescent="0.25">
      <c r="A15" t="str">
        <f>$B$15&amp;"-"&amp;C15</f>
        <v>Agressivo-PAPEL</v>
      </c>
      <c r="B15" s="1" t="s">
        <v>14</v>
      </c>
      <c r="C15" s="1" t="s">
        <v>21</v>
      </c>
      <c r="D15" s="43">
        <v>0.5</v>
      </c>
    </row>
    <row r="16" spans="1:8" x14ac:dyDescent="0.25">
      <c r="A16" t="str">
        <f t="shared" ref="A16:A20" si="2">$B$15&amp;"-"&amp;C16</f>
        <v>Agressivo-TIJOLO</v>
      </c>
      <c r="B16" s="1" t="s">
        <v>14</v>
      </c>
      <c r="C16" s="1" t="s">
        <v>22</v>
      </c>
      <c r="D16" s="43">
        <v>0.1</v>
      </c>
    </row>
    <row r="17" spans="1:4" x14ac:dyDescent="0.25">
      <c r="A17" t="str">
        <f t="shared" si="2"/>
        <v>Agressivo-HIBRÍDOS</v>
      </c>
      <c r="B17" s="1" t="s">
        <v>14</v>
      </c>
      <c r="C17" s="1" t="s">
        <v>23</v>
      </c>
      <c r="D17" s="43">
        <v>0.05</v>
      </c>
    </row>
    <row r="18" spans="1:4" x14ac:dyDescent="0.25">
      <c r="A18" t="str">
        <f t="shared" si="2"/>
        <v>Agressivo-FOFs</v>
      </c>
      <c r="B18" s="1" t="s">
        <v>14</v>
      </c>
      <c r="C18" s="1" t="s">
        <v>24</v>
      </c>
      <c r="D18" s="43">
        <v>0.05</v>
      </c>
    </row>
    <row r="19" spans="1:4" x14ac:dyDescent="0.25">
      <c r="A19" t="str">
        <f t="shared" si="2"/>
        <v>Agressivo-DESENVOLVIMENTO</v>
      </c>
      <c r="B19" s="1" t="s">
        <v>14</v>
      </c>
      <c r="C19" s="1" t="s">
        <v>25</v>
      </c>
      <c r="D19" s="43">
        <v>0.2</v>
      </c>
    </row>
    <row r="20" spans="1:4" x14ac:dyDescent="0.25">
      <c r="A20" t="str">
        <f t="shared" si="2"/>
        <v>Agressivo-HOTELARIAS</v>
      </c>
      <c r="B20" s="1" t="s">
        <v>14</v>
      </c>
      <c r="C20" s="1" t="s">
        <v>26</v>
      </c>
      <c r="D20" s="43">
        <v>0.1</v>
      </c>
    </row>
  </sheetData>
  <dataValidations count="1">
    <dataValidation type="list" allowBlank="1" showInputMessage="1" showErrorMessage="1" sqref="G5" xr:uid="{C1649823-64C3-4B72-8836-AACA8E0EA3D4}">
      <formula1>$A$3:$A$20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qntdAnos</vt:lpstr>
      <vt:lpstr>rendimentoCarteira</vt:lpstr>
      <vt:lpstr>salario</vt:lpstr>
      <vt:lpstr>sugestaoInvestimento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Breno Martins</dc:creator>
  <cp:lastModifiedBy>Guilherme Breno Martins</cp:lastModifiedBy>
  <dcterms:created xsi:type="dcterms:W3CDTF">2026-10-05T17:41:55Z</dcterms:created>
  <dcterms:modified xsi:type="dcterms:W3CDTF">2026-10-09T23:37:01Z</dcterms:modified>
</cp:coreProperties>
</file>